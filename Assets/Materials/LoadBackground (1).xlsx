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Q1\Downloads\Telegram Desktop\"/>
    </mc:Choice>
  </mc:AlternateContent>
  <xr:revisionPtr revIDLastSave="0" documentId="13_ncr:1_{97F017F5-930E-4E7C-86D3-7742343E69B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ЛР1" sheetId="1" r:id="rId1"/>
    <sheet name="ЛР1 ДИСКР" sheetId="2" r:id="rId2"/>
    <sheet name="ЛР2" sheetId="3" r:id="rId3"/>
    <sheet name="ЛР2 ДИСКР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3" l="1"/>
  <c r="J9" i="3"/>
  <c r="J10" i="3"/>
  <c r="J11" i="3"/>
  <c r="J12" i="3"/>
  <c r="J13" i="3"/>
  <c r="J14" i="3"/>
  <c r="J7" i="3"/>
  <c r="B8" i="4"/>
  <c r="E7" i="4" a="1"/>
  <c r="F12" i="4" s="1"/>
  <c r="B7" i="4"/>
  <c r="B6" i="4"/>
  <c r="B9" i="4" s="1"/>
  <c r="C11" i="1"/>
  <c r="E7" i="3" a="1"/>
  <c r="B10" i="3"/>
  <c r="B8" i="3"/>
  <c r="B9" i="3"/>
  <c r="B7" i="3"/>
  <c r="B6" i="3"/>
  <c r="B8" i="2"/>
  <c r="B7" i="2"/>
  <c r="B6" i="2"/>
  <c r="E7" i="2" a="1"/>
  <c r="F10" i="2" s="1"/>
  <c r="C7" i="1"/>
  <c r="C6" i="1"/>
  <c r="C10" i="1"/>
  <c r="H8" i="1"/>
  <c r="H9" i="1"/>
  <c r="H10" i="1"/>
  <c r="H11" i="1"/>
  <c r="H12" i="1"/>
  <c r="H13" i="1"/>
  <c r="H7" i="1"/>
  <c r="F7" i="1" a="1"/>
  <c r="C9" i="1"/>
  <c r="C12" i="1" s="1"/>
  <c r="G11" i="1" l="1"/>
  <c r="G14" i="1"/>
  <c r="G8" i="1"/>
  <c r="I7" i="1" s="1"/>
  <c r="G9" i="1"/>
  <c r="G13" i="1"/>
  <c r="G10" i="1"/>
  <c r="F7" i="1"/>
  <c r="G7" i="1" s="1"/>
  <c r="G12" i="1"/>
  <c r="F9" i="2"/>
  <c r="F8" i="2"/>
  <c r="E7" i="2"/>
  <c r="F7" i="2" s="1"/>
  <c r="G7" i="2" s="1"/>
  <c r="G8" i="2" s="1"/>
  <c r="G9" i="2" s="1"/>
  <c r="G10" i="2" s="1"/>
  <c r="G14" i="3"/>
  <c r="G11" i="3"/>
  <c r="G10" i="3"/>
  <c r="G9" i="3"/>
  <c r="G8" i="3"/>
  <c r="E7" i="3"/>
  <c r="G13" i="3"/>
  <c r="F14" i="3"/>
  <c r="H14" i="3" s="1"/>
  <c r="F13" i="3"/>
  <c r="H13" i="3" s="1"/>
  <c r="F12" i="3"/>
  <c r="H12" i="3" s="1"/>
  <c r="F11" i="3"/>
  <c r="H11" i="3" s="1"/>
  <c r="F10" i="3"/>
  <c r="H10" i="3" s="1"/>
  <c r="F9" i="3"/>
  <c r="H9" i="3" s="1"/>
  <c r="F8" i="3"/>
  <c r="H8" i="3" s="1"/>
  <c r="G12" i="3"/>
  <c r="G8" i="4"/>
  <c r="G9" i="4"/>
  <c r="G10" i="4"/>
  <c r="G11" i="4"/>
  <c r="G12" i="4"/>
  <c r="F8" i="4"/>
  <c r="F9" i="4"/>
  <c r="F10" i="4"/>
  <c r="F11" i="4"/>
  <c r="F7" i="4"/>
  <c r="E7" i="4"/>
  <c r="I8" i="1" l="1"/>
  <c r="I9" i="1" s="1"/>
  <c r="I10" i="1" s="1"/>
  <c r="I11" i="1" s="1"/>
  <c r="I12" i="1" s="1"/>
  <c r="I13" i="1" s="1"/>
  <c r="G7" i="3"/>
  <c r="I7" i="3"/>
  <c r="I8" i="3" s="1"/>
  <c r="I9" i="3" s="1"/>
  <c r="I10" i="3" s="1"/>
  <c r="I11" i="3" s="1"/>
  <c r="I12" i="3" s="1"/>
  <c r="I13" i="3" s="1"/>
  <c r="I14" i="3" s="1"/>
  <c r="F7" i="3"/>
  <c r="H7" i="3" s="1"/>
  <c r="H7" i="4"/>
  <c r="G7" i="4"/>
  <c r="I7" i="4" l="1"/>
  <c r="H8" i="4"/>
  <c r="I8" i="4" l="1"/>
  <c r="H9" i="4"/>
  <c r="I9" i="4" l="1"/>
  <c r="H10" i="4"/>
  <c r="I10" i="4" l="1"/>
  <c r="H11" i="4"/>
  <c r="I11" i="4" l="1"/>
  <c r="H12" i="4"/>
  <c r="I1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<sst xmlns="http://schemas.openxmlformats.org/spreadsheetml/2006/main" count="55" uniqueCount="30">
  <si>
    <t>Полатинский А.В. ПИКД 7</t>
  </si>
  <si>
    <t>25 вар</t>
  </si>
  <si>
    <t>ЛР1</t>
  </si>
  <si>
    <t>таблица 6</t>
  </si>
  <si>
    <t>макс</t>
  </si>
  <si>
    <t>интервал</t>
  </si>
  <si>
    <t>частота</t>
  </si>
  <si>
    <t>отн частота</t>
  </si>
  <si>
    <t>серед интер</t>
  </si>
  <si>
    <t>накопленные част</t>
  </si>
  <si>
    <t>мин</t>
  </si>
  <si>
    <t>R</t>
  </si>
  <si>
    <t>n</t>
  </si>
  <si>
    <t>N</t>
  </si>
  <si>
    <t>d</t>
  </si>
  <si>
    <t>таблица 7</t>
  </si>
  <si>
    <t>вар</t>
  </si>
  <si>
    <t>частнотность F(x)</t>
  </si>
  <si>
    <t xml:space="preserve">макс </t>
  </si>
  <si>
    <t>вариант</t>
  </si>
  <si>
    <t>плотность</t>
  </si>
  <si>
    <t>отн плостность</t>
  </si>
  <si>
    <t>накоплен</t>
  </si>
  <si>
    <t>накоплен част %</t>
  </si>
  <si>
    <t>ЛР2</t>
  </si>
  <si>
    <t>таблица 4</t>
  </si>
  <si>
    <t>плотность ni/(d*n)</t>
  </si>
  <si>
    <t>накопл част</t>
  </si>
  <si>
    <t>накопл част в %</t>
  </si>
  <si>
    <t>d окр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</si>
</sst>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функция распредееления НСВ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ЛР1!$H$7:$H$13</c:f>
              <c:numCache>
                <c:formatCode>General</c:formatCode>
                <c:ptCount val="7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</c:numCache>
            </c:numRef>
          </c:cat>
          <c:val>
            <c:numRef>
              <c:f>ЛР1!$I$7:$I$13</c:f>
              <c:numCache>
                <c:formatCode>General</c:formatCode>
                <c:ptCount val="7"/>
                <c:pt idx="0">
                  <c:v>3.8461538461538464E-2</c:v>
                </c:pt>
                <c:pt idx="1">
                  <c:v>0.19230769230769232</c:v>
                </c:pt>
                <c:pt idx="2">
                  <c:v>0.42307692307692313</c:v>
                </c:pt>
                <c:pt idx="3">
                  <c:v>0.65384615384615397</c:v>
                </c:pt>
                <c:pt idx="4">
                  <c:v>0.76923076923076938</c:v>
                </c:pt>
                <c:pt idx="5">
                  <c:v>0.8846153846153848</c:v>
                </c:pt>
                <c:pt idx="6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2C-4375-8CB6-E2ABADC03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691399"/>
        <c:axId val="161756680"/>
      </c:lineChart>
      <c:catAx>
        <c:axId val="1773691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56680"/>
        <c:crosses val="autoZero"/>
        <c:auto val="1"/>
        <c:lblAlgn val="ctr"/>
        <c:lblOffset val="100"/>
        <c:noMultiLvlLbl val="0"/>
      </c:catAx>
      <c:valAx>
        <c:axId val="16175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691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Гистограмма относительных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Гистограмма относительных частот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ЛР2!$F$7:$F$15</c:f>
              <c:numCache>
                <c:formatCode>General</c:formatCode>
                <c:ptCount val="9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0.30769230769230771</c:v>
                </c:pt>
                <c:pt idx="4">
                  <c:v>0.19230769230769232</c:v>
                </c:pt>
                <c:pt idx="5">
                  <c:v>0.11538461538461539</c:v>
                </c:pt>
                <c:pt idx="6">
                  <c:v>0.19230769230769232</c:v>
                </c:pt>
                <c:pt idx="7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13-4B4E-BA9E-1446BD2A9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79080"/>
        <c:axId val="102992904"/>
      </c:barChart>
      <c:catAx>
        <c:axId val="102979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2904"/>
        <c:crosses val="autoZero"/>
        <c:auto val="1"/>
        <c:lblAlgn val="ctr"/>
        <c:lblOffset val="100"/>
        <c:noMultiLvlLbl val="0"/>
      </c:catAx>
      <c:valAx>
        <c:axId val="10299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7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Гистограмма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Гистограмма частот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ЛР2!$D$7:$D$15</c:f>
              <c:numCache>
                <c:formatCode>General</c:formatCode>
                <c:ptCount val="9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</c:numCache>
            </c:numRef>
          </c:cat>
          <c:val>
            <c:numRef>
              <c:f>ЛР2!$E$7:$E$15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69-4134-8440-835FE58FC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79080"/>
        <c:axId val="102992904"/>
      </c:barChart>
      <c:catAx>
        <c:axId val="10297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2904"/>
        <c:crosses val="autoZero"/>
        <c:auto val="1"/>
        <c:lblAlgn val="ctr"/>
        <c:lblOffset val="100"/>
        <c:noMultiLvlLbl val="0"/>
      </c:catAx>
      <c:valAx>
        <c:axId val="10299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7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Огива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ЛР2!$D$7:$D$14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</c:numCache>
            </c:numRef>
          </c:cat>
          <c:val>
            <c:numRef>
              <c:f>ЛР2!$J$7:$J$15</c:f>
              <c:numCache>
                <c:formatCode>0.00%</c:formatCode>
                <c:ptCount val="9"/>
                <c:pt idx="0">
                  <c:v>0</c:v>
                </c:pt>
                <c:pt idx="1">
                  <c:v>3.8461538461538464E-2</c:v>
                </c:pt>
                <c:pt idx="2">
                  <c:v>0.11538461538461539</c:v>
                </c:pt>
                <c:pt idx="3">
                  <c:v>0.42307692307692307</c:v>
                </c:pt>
                <c:pt idx="4">
                  <c:v>0.61538461538461542</c:v>
                </c:pt>
                <c:pt idx="5">
                  <c:v>0.73076923076923073</c:v>
                </c:pt>
                <c:pt idx="6">
                  <c:v>0.92307692307692313</c:v>
                </c:pt>
                <c:pt idx="7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{"Огива"}</c15:sqref>
                        </c15:formulaRef>
                      </c:ext>
                    </c:extLst>
                    <c:strCache>
                      <c:ptCount val="1"/>
                      <c:pt idx="0">
                        <c:v>Огива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965-4F78-BB36-C497D38C5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79080"/>
        <c:axId val="102992904"/>
      </c:lineChart>
      <c:catAx>
        <c:axId val="10297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2904"/>
        <c:crosses val="autoZero"/>
        <c:auto val="1"/>
        <c:lblAlgn val="ctr"/>
        <c:lblOffset val="100"/>
        <c:noMultiLvlLbl val="0"/>
      </c:catAx>
      <c:valAx>
        <c:axId val="10299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7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Полигон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Полигон частот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ЛР2!$E$7:$E$14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D2-4915-B66A-78492EC68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79080"/>
        <c:axId val="102992904"/>
      </c:lineChart>
      <c:catAx>
        <c:axId val="10297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2904"/>
        <c:crosses val="autoZero"/>
        <c:auto val="1"/>
        <c:lblAlgn val="ctr"/>
        <c:lblOffset val="100"/>
        <c:noMultiLvlLbl val="0"/>
      </c:catAx>
      <c:valAx>
        <c:axId val="10299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7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Полигон  относительных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ЛР2!$F$7:$F$15</c:f>
              <c:numCache>
                <c:formatCode>General</c:formatCode>
                <c:ptCount val="9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0.30769230769230771</c:v>
                </c:pt>
                <c:pt idx="4">
                  <c:v>0.19230769230769232</c:v>
                </c:pt>
                <c:pt idx="5">
                  <c:v>0.11538461538461539</c:v>
                </c:pt>
                <c:pt idx="6">
                  <c:v>0.19230769230769232</c:v>
                </c:pt>
                <c:pt idx="7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8-477D-A73D-755F2C4C4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79080"/>
        <c:axId val="102992904"/>
      </c:lineChart>
      <c:catAx>
        <c:axId val="10297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2904"/>
        <c:crosses val="autoZero"/>
        <c:auto val="1"/>
        <c:lblAlgn val="ctr"/>
        <c:lblOffset val="100"/>
        <c:noMultiLvlLbl val="0"/>
      </c:catAx>
      <c:valAx>
        <c:axId val="10299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7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Гистограмма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Гистограмма частот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'ЛР2 ДИСКР'!$E$7:$E$13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5B-4BFC-A86E-C83452CE7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038663"/>
        <c:axId val="268040711"/>
      </c:barChart>
      <c:catAx>
        <c:axId val="268038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040711"/>
        <c:crosses val="autoZero"/>
        <c:auto val="1"/>
        <c:lblAlgn val="ctr"/>
        <c:lblOffset val="100"/>
        <c:noMultiLvlLbl val="0"/>
      </c:catAx>
      <c:valAx>
        <c:axId val="268040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038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Гистограмма относительных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Гистограмма относительных частот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'ЛР2 ДИСКР'!$G$7:$G$12</c:f>
              <c:numCache>
                <c:formatCode>General</c:formatCode>
                <c:ptCount val="6"/>
                <c:pt idx="0">
                  <c:v>0.13333333333333333</c:v>
                </c:pt>
                <c:pt idx="1">
                  <c:v>0.16666666666666666</c:v>
                </c:pt>
                <c:pt idx="2">
                  <c:v>0.3</c:v>
                </c:pt>
                <c:pt idx="3">
                  <c:v>0.16666666666666666</c:v>
                </c:pt>
                <c:pt idx="4">
                  <c:v>0.13333333333333333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C7-4E41-B8DD-01AA97BA8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038663"/>
        <c:axId val="268040711"/>
      </c:barChart>
      <c:catAx>
        <c:axId val="268038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040711"/>
        <c:crosses val="autoZero"/>
        <c:auto val="1"/>
        <c:lblAlgn val="ctr"/>
        <c:lblOffset val="100"/>
        <c:noMultiLvlLbl val="0"/>
      </c:catAx>
      <c:valAx>
        <c:axId val="268040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038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Огива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'ЛР2 ДИСКР'!$D$7:$D$11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'ЛР2 ДИСКР'!$I$7:$I$12</c:f>
              <c:numCache>
                <c:formatCode>0.00%</c:formatCode>
                <c:ptCount val="6"/>
                <c:pt idx="0">
                  <c:v>0.13333333333333333</c:v>
                </c:pt>
                <c:pt idx="1">
                  <c:v>0.3</c:v>
                </c:pt>
                <c:pt idx="2">
                  <c:v>0.6</c:v>
                </c:pt>
                <c:pt idx="3">
                  <c:v>0.76666666666666672</c:v>
                </c:pt>
                <c:pt idx="4">
                  <c:v>0.9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2F-4986-8895-37A986DF7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207560"/>
        <c:axId val="2141209608"/>
      </c:lineChart>
      <c:catAx>
        <c:axId val="2141207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A02B93"/>
          </a:solidFill>
          <a:ln w="9525" cap="flat" cmpd="sng" algn="ctr">
            <a:solidFill>
              <a:srgbClr val="45D65A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09608"/>
        <c:crosses val="autoZero"/>
        <c:auto val="1"/>
        <c:lblAlgn val="ctr"/>
        <c:lblOffset val="100"/>
        <c:noMultiLvlLbl val="0"/>
      </c:catAx>
      <c:valAx>
        <c:axId val="214120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'ЛР2 ДИСКР'!$E$7:$E$13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{"Полигон частот"}</c15:sqref>
                        </c15:formulaRef>
                      </c:ext>
                    </c:extLst>
                    <c:strCache>
                      <c:ptCount val="1"/>
                      <c:pt idx="0">
                        <c:v>Полигон частот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656-4E2D-AEDE-595B0C358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207560"/>
        <c:axId val="2141209608"/>
      </c:lineChart>
      <c:catAx>
        <c:axId val="2141207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09608"/>
        <c:crosses val="autoZero"/>
        <c:auto val="1"/>
        <c:lblAlgn val="ctr"/>
        <c:lblOffset val="100"/>
        <c:noMultiLvlLbl val="0"/>
      </c:catAx>
      <c:valAx>
        <c:axId val="214120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'ЛР2 ДИСКР'!$G$7:$G$12</c:f>
              <c:numCache>
                <c:formatCode>General</c:formatCode>
                <c:ptCount val="6"/>
                <c:pt idx="0">
                  <c:v>0.13333333333333333</c:v>
                </c:pt>
                <c:pt idx="1">
                  <c:v>0.16666666666666666</c:v>
                </c:pt>
                <c:pt idx="2">
                  <c:v>0.3</c:v>
                </c:pt>
                <c:pt idx="3">
                  <c:v>0.16666666666666666</c:v>
                </c:pt>
                <c:pt idx="4">
                  <c:v>0.13333333333333333</c:v>
                </c:pt>
                <c:pt idx="5">
                  <c:v>0.1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{"Полигон относительных частот"}</c15:sqref>
                        </c15:formulaRef>
                      </c:ext>
                    </c:extLst>
                    <c:strCache>
                      <c:ptCount val="1"/>
                      <c:pt idx="0">
                        <c:v>Полигон относительных частот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300D-4F41-B737-CB3CCF3F2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207560"/>
        <c:axId val="2141209608"/>
      </c:lineChart>
      <c:catAx>
        <c:axId val="2141207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09608"/>
        <c:crosses val="autoZero"/>
        <c:auto val="1"/>
        <c:lblAlgn val="ctr"/>
        <c:lblOffset val="100"/>
        <c:noMultiLvlLbl val="0"/>
      </c:catAx>
      <c:valAx>
        <c:axId val="214120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588869</xdr:colOff>
      <xdr:row>5</xdr:row>
      <xdr:rowOff>195543</xdr:rowOff>
    </xdr:from>
    <xdr:to>
      <xdr:col>19</xdr:col>
      <xdr:colOff>3362</xdr:colOff>
      <xdr:row>22</xdr:row>
      <xdr:rowOff>167529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281B143-BA55-1A46-EA8F-727780A22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21</xdr:col>
      <xdr:colOff>200025</xdr:colOff>
      <xdr:row>15</xdr:row>
      <xdr:rowOff>180975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3297A09-BBDD-C737-3C35-301D1F17A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171450</xdr:rowOff>
    </xdr:from>
    <xdr:to>
      <xdr:col>6</xdr:col>
      <xdr:colOff>647700</xdr:colOff>
      <xdr:row>33</xdr:row>
      <xdr:rowOff>171450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6E33CF3-DA51-4911-9F32-E9C8668695D2}"/>
            </a:ext>
            <a:ext uri="{147F2762-F138-4A5C-976F-8EAC2B608ADB}">
              <a16:predDERef xmlns:a16="http://schemas.microsoft.com/office/drawing/2014/main" pred="{03297A09-BBDD-C737-3C35-301D1F17A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647700</xdr:colOff>
      <xdr:row>15</xdr:row>
      <xdr:rowOff>171450</xdr:rowOff>
    </xdr:from>
    <xdr:to>
      <xdr:col>15</xdr:col>
      <xdr:colOff>19050</xdr:colOff>
      <xdr:row>33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186E39B-7F24-4BCC-9642-3DB88618541F}"/>
            </a:ext>
            <a:ext uri="{147F2762-F138-4A5C-976F-8EAC2B608ADB}">
              <a16:predDERef xmlns:a16="http://schemas.microsoft.com/office/drawing/2014/main" pred="{F6E33CF3-DA51-4911-9F32-E9C866869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28575</xdr:colOff>
      <xdr:row>15</xdr:row>
      <xdr:rowOff>171450</xdr:rowOff>
    </xdr:from>
    <xdr:to>
      <xdr:col>23</xdr:col>
      <xdr:colOff>66675</xdr:colOff>
      <xdr:row>33</xdr:row>
      <xdr:rowOff>171450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DFE3A56-BB47-43CF-9710-2C532E2F69CF}"/>
            </a:ext>
            <a:ext uri="{147F2762-F138-4A5C-976F-8EAC2B608ADB}">
              <a16:predDERef xmlns:a16="http://schemas.microsoft.com/office/drawing/2014/main" pred="{8186E39B-7F24-4BCC-9642-3DB886185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200025</xdr:colOff>
      <xdr:row>0</xdr:row>
      <xdr:rowOff>0</xdr:rowOff>
    </xdr:from>
    <xdr:to>
      <xdr:col>29</xdr:col>
      <xdr:colOff>209550</xdr:colOff>
      <xdr:row>15</xdr:row>
      <xdr:rowOff>171450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13A844E-2EA1-483A-A344-ECC035774D77}"/>
            </a:ext>
            <a:ext uri="{147F2762-F138-4A5C-976F-8EAC2B608ADB}">
              <a16:predDERef xmlns:a16="http://schemas.microsoft.com/office/drawing/2014/main" pred="{6DFE3A56-BB47-43CF-9710-2C532E2F6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161925</xdr:rowOff>
    </xdr:from>
    <xdr:to>
      <xdr:col>6</xdr:col>
      <xdr:colOff>600075</xdr:colOff>
      <xdr:row>27</xdr:row>
      <xdr:rowOff>161925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11A1F93-E521-C073-BF60-6C3D30134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590550</xdr:colOff>
      <xdr:row>12</xdr:row>
      <xdr:rowOff>171450</xdr:rowOff>
    </xdr:from>
    <xdr:to>
      <xdr:col>14</xdr:col>
      <xdr:colOff>180975</xdr:colOff>
      <xdr:row>27</xdr:row>
      <xdr:rowOff>171450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F72A290-E534-4973-BD9C-9F2148D80F42}"/>
            </a:ext>
            <a:ext uri="{147F2762-F138-4A5C-976F-8EAC2B608ADB}">
              <a16:predDERef xmlns:a16="http://schemas.microsoft.com/office/drawing/2014/main" pred="{411A1F93-E521-C073-BF60-6C3D30134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0</xdr:row>
      <xdr:rowOff>0</xdr:rowOff>
    </xdr:from>
    <xdr:to>
      <xdr:col>24</xdr:col>
      <xdr:colOff>600075</xdr:colOff>
      <xdr:row>16</xdr:row>
      <xdr:rowOff>171450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BF282DA0-97E6-89A5-BFC4-7B95D722BE3F}"/>
            </a:ext>
            <a:ext uri="{147F2762-F138-4A5C-976F-8EAC2B608ADB}">
              <a16:predDERef xmlns:a16="http://schemas.microsoft.com/office/drawing/2014/main" pred="{4F72A290-E534-4973-BD9C-9F2148D80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600075</xdr:colOff>
      <xdr:row>16</xdr:row>
      <xdr:rowOff>180975</xdr:rowOff>
    </xdr:from>
    <xdr:to>
      <xdr:col>24</xdr:col>
      <xdr:colOff>600075</xdr:colOff>
      <xdr:row>35</xdr:row>
      <xdr:rowOff>152400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7E4C9CD3-3F03-4EB4-9A2F-6BAA80E3BB31}"/>
            </a:ext>
            <a:ext uri="{147F2762-F138-4A5C-976F-8EAC2B608ADB}">
              <a16:predDERef xmlns:a16="http://schemas.microsoft.com/office/drawing/2014/main" pred="{BF282DA0-97E6-89A5-BFC4-7B95D722B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600075</xdr:colOff>
      <xdr:row>16</xdr:row>
      <xdr:rowOff>180975</xdr:rowOff>
    </xdr:from>
    <xdr:to>
      <xdr:col>34</xdr:col>
      <xdr:colOff>600075</xdr:colOff>
      <xdr:row>35</xdr:row>
      <xdr:rowOff>152400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9D929992-4049-4219-B332-776F24FD5222}"/>
            </a:ext>
            <a:ext uri="{147F2762-F138-4A5C-976F-8EAC2B608ADB}">
              <a16:predDERef xmlns:a16="http://schemas.microsoft.com/office/drawing/2014/main" pred="{7E4C9CD3-3F03-4EB4-9A2F-6BAA80E3B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zoomScaleNormal="100" workbookViewId="0">
      <selection activeCell="J16" sqref="J16"/>
    </sheetView>
  </sheetViews>
  <sheetFormatPr defaultRowHeight="14.4" x14ac:dyDescent="0.3"/>
  <cols>
    <col min="6" max="6" width="11.33203125" customWidth="1"/>
    <col min="7" max="7" width="11" bestFit="1" customWidth="1"/>
    <col min="8" max="8" width="10.44140625" customWidth="1"/>
    <col min="9" max="9" width="17.109375" bestFit="1" customWidth="1"/>
    <col min="10" max="10" width="10.5546875" bestFit="1" customWidth="1"/>
    <col min="11" max="11" width="10" customWidth="1"/>
  </cols>
  <sheetData>
    <row r="1" spans="1:13" x14ac:dyDescent="0.3">
      <c r="A1" t="s">
        <v>0</v>
      </c>
      <c r="D1" t="s">
        <v>1</v>
      </c>
      <c r="E1" t="s">
        <v>2</v>
      </c>
      <c r="F1" t="s">
        <v>3</v>
      </c>
    </row>
    <row r="3" spans="1:13" x14ac:dyDescent="0.3">
      <c r="A3">
        <v>6.18</v>
      </c>
      <c r="B3">
        <v>7.56</v>
      </c>
      <c r="C3">
        <v>4.0599999999999996</v>
      </c>
      <c r="D3">
        <v>3.85</v>
      </c>
      <c r="E3">
        <v>4.78</v>
      </c>
      <c r="F3">
        <v>3.6</v>
      </c>
      <c r="G3">
        <v>8.8000000000000007</v>
      </c>
      <c r="H3">
        <v>5.7</v>
      </c>
      <c r="I3">
        <v>4.4400000000000004</v>
      </c>
      <c r="J3">
        <v>6.64</v>
      </c>
      <c r="K3">
        <v>4.95</v>
      </c>
      <c r="L3">
        <v>3.66</v>
      </c>
      <c r="M3">
        <v>2.84</v>
      </c>
    </row>
    <row r="4" spans="1:13" x14ac:dyDescent="0.3">
      <c r="A4">
        <v>2.96</v>
      </c>
      <c r="B4">
        <v>2.62</v>
      </c>
      <c r="C4">
        <v>3.57</v>
      </c>
      <c r="D4">
        <v>4.47</v>
      </c>
      <c r="E4">
        <v>3.97</v>
      </c>
      <c r="F4">
        <v>6.02</v>
      </c>
      <c r="G4">
        <v>1.66</v>
      </c>
      <c r="H4">
        <v>7.24</v>
      </c>
      <c r="I4">
        <v>2.13</v>
      </c>
      <c r="J4">
        <v>4.58</v>
      </c>
      <c r="K4">
        <v>5.51</v>
      </c>
      <c r="L4">
        <v>3.67</v>
      </c>
      <c r="M4">
        <v>5.89</v>
      </c>
    </row>
    <row r="6" spans="1:13" ht="28.8" x14ac:dyDescent="0.3">
      <c r="B6" t="s">
        <v>4</v>
      </c>
      <c r="C6">
        <f>MAX(A3:M4)</f>
        <v>8.8000000000000007</v>
      </c>
      <c r="E6" t="s">
        <v>5</v>
      </c>
      <c r="F6" t="s">
        <v>6</v>
      </c>
      <c r="G6" t="s">
        <v>7</v>
      </c>
      <c r="H6" s="1" t="s">
        <v>8</v>
      </c>
      <c r="I6" t="s">
        <v>9</v>
      </c>
    </row>
    <row r="7" spans="1:13" x14ac:dyDescent="0.3">
      <c r="B7" t="s">
        <v>10</v>
      </c>
      <c r="C7">
        <f>MIN(A3:M4)</f>
        <v>1.66</v>
      </c>
      <c r="E7">
        <v>1</v>
      </c>
      <c r="F7" s="1" cm="1">
        <f t="array" ref="F7:F14">FREQUENCY(A3:M4,E7:E13)</f>
        <v>0</v>
      </c>
      <c r="G7">
        <f>F7/$C$10</f>
        <v>0</v>
      </c>
      <c r="H7">
        <f>(E7+E8)/2</f>
        <v>1.5</v>
      </c>
      <c r="I7">
        <f>G8</f>
        <v>3.8461538461538464E-2</v>
      </c>
    </row>
    <row r="8" spans="1:13" x14ac:dyDescent="0.3">
      <c r="E8">
        <v>2</v>
      </c>
      <c r="F8" s="1">
        <v>1</v>
      </c>
      <c r="G8">
        <f t="shared" ref="G8:G15" si="0">F8/$C$10</f>
        <v>3.8461538461538464E-2</v>
      </c>
      <c r="H8">
        <f t="shared" ref="H8:H15" si="1">(E8+E9)/2</f>
        <v>2.5</v>
      </c>
      <c r="I8">
        <f>I7+G9</f>
        <v>0.19230769230769232</v>
      </c>
    </row>
    <row r="9" spans="1:13" x14ac:dyDescent="0.3">
      <c r="B9" t="s">
        <v>11</v>
      </c>
      <c r="C9">
        <f>C6 - C7</f>
        <v>7.1400000000000006</v>
      </c>
      <c r="E9">
        <v>3</v>
      </c>
      <c r="F9">
        <v>4</v>
      </c>
      <c r="G9">
        <f t="shared" si="0"/>
        <v>0.15384615384615385</v>
      </c>
      <c r="H9">
        <f t="shared" si="1"/>
        <v>3.5</v>
      </c>
      <c r="I9">
        <f t="shared" ref="I9:I14" si="2">I8+G10</f>
        <v>0.42307692307692313</v>
      </c>
    </row>
    <row r="10" spans="1:13" x14ac:dyDescent="0.3">
      <c r="B10" t="s">
        <v>12</v>
      </c>
      <c r="C10">
        <f>COUNT(A3:M4)</f>
        <v>26</v>
      </c>
      <c r="E10">
        <v>4</v>
      </c>
      <c r="F10">
        <v>6</v>
      </c>
      <c r="G10">
        <f t="shared" si="0"/>
        <v>0.23076923076923078</v>
      </c>
      <c r="H10">
        <f t="shared" si="1"/>
        <v>4.5</v>
      </c>
      <c r="I10">
        <f t="shared" si="2"/>
        <v>0.65384615384615397</v>
      </c>
    </row>
    <row r="11" spans="1:13" x14ac:dyDescent="0.3">
      <c r="B11" t="s">
        <v>13</v>
      </c>
      <c r="C11">
        <f>SQRT(26)</f>
        <v>5.0990195135927845</v>
      </c>
      <c r="E11">
        <v>5</v>
      </c>
      <c r="F11">
        <v>6</v>
      </c>
      <c r="G11">
        <f t="shared" si="0"/>
        <v>0.23076923076923078</v>
      </c>
      <c r="H11">
        <f t="shared" si="1"/>
        <v>5.5</v>
      </c>
      <c r="I11">
        <f t="shared" si="2"/>
        <v>0.76923076923076938</v>
      </c>
    </row>
    <row r="12" spans="1:13" x14ac:dyDescent="0.3">
      <c r="B12" t="s">
        <v>14</v>
      </c>
      <c r="C12">
        <f>C9/C11</f>
        <v>1.4002692048866341</v>
      </c>
      <c r="E12">
        <v>6</v>
      </c>
      <c r="F12">
        <v>3</v>
      </c>
      <c r="G12">
        <f t="shared" si="0"/>
        <v>0.11538461538461539</v>
      </c>
      <c r="H12">
        <f t="shared" si="1"/>
        <v>6.5</v>
      </c>
      <c r="I12">
        <f t="shared" si="2"/>
        <v>0.8846153846153848</v>
      </c>
    </row>
    <row r="13" spans="1:13" x14ac:dyDescent="0.3">
      <c r="E13">
        <v>7</v>
      </c>
      <c r="F13">
        <v>3</v>
      </c>
      <c r="G13">
        <f t="shared" si="0"/>
        <v>0.11538461538461539</v>
      </c>
      <c r="H13">
        <f t="shared" si="1"/>
        <v>7.5</v>
      </c>
      <c r="I13">
        <f t="shared" si="2"/>
        <v>1.0000000000000002</v>
      </c>
    </row>
    <row r="14" spans="1:13" x14ac:dyDescent="0.3">
      <c r="E14">
        <v>8</v>
      </c>
      <c r="F14">
        <v>3</v>
      </c>
      <c r="G14">
        <f t="shared" si="0"/>
        <v>0.11538461538461539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0103-3BC6-4B9B-AAFF-7FBA55BA1E82}">
  <dimension ref="A1:O13"/>
  <sheetViews>
    <sheetView zoomScale="115" zoomScaleNormal="115" workbookViewId="0">
      <selection activeCell="D9" sqref="D9"/>
    </sheetView>
  </sheetViews>
  <sheetFormatPr defaultRowHeight="14.4" x14ac:dyDescent="0.3"/>
  <cols>
    <col min="6" max="6" width="12.6640625" bestFit="1" customWidth="1"/>
  </cols>
  <sheetData>
    <row r="1" spans="1:15" x14ac:dyDescent="0.3">
      <c r="A1" t="s">
        <v>0</v>
      </c>
      <c r="D1" t="s">
        <v>1</v>
      </c>
      <c r="E1" t="s">
        <v>2</v>
      </c>
      <c r="F1" t="s">
        <v>15</v>
      </c>
    </row>
    <row r="3" spans="1:15" x14ac:dyDescent="0.3">
      <c r="A3">
        <v>2</v>
      </c>
      <c r="B3">
        <v>3</v>
      </c>
      <c r="C3">
        <v>4</v>
      </c>
      <c r="D3">
        <v>0</v>
      </c>
      <c r="E3">
        <v>2</v>
      </c>
      <c r="F3">
        <v>1</v>
      </c>
      <c r="G3">
        <v>2</v>
      </c>
      <c r="H3">
        <v>3</v>
      </c>
      <c r="I3">
        <v>2</v>
      </c>
      <c r="J3">
        <v>1</v>
      </c>
      <c r="K3">
        <v>2</v>
      </c>
      <c r="L3">
        <v>2</v>
      </c>
      <c r="M3">
        <v>4</v>
      </c>
      <c r="N3">
        <v>0</v>
      </c>
      <c r="O3">
        <v>2</v>
      </c>
    </row>
    <row r="4" spans="1:15" x14ac:dyDescent="0.3">
      <c r="A4">
        <v>4</v>
      </c>
      <c r="B4">
        <v>3</v>
      </c>
      <c r="C4">
        <v>2</v>
      </c>
      <c r="D4">
        <v>2</v>
      </c>
      <c r="E4">
        <v>1</v>
      </c>
      <c r="F4">
        <v>3</v>
      </c>
      <c r="G4">
        <v>1</v>
      </c>
      <c r="H4">
        <v>3</v>
      </c>
      <c r="I4">
        <v>2</v>
      </c>
      <c r="J4">
        <v>2</v>
      </c>
      <c r="K4">
        <v>1</v>
      </c>
      <c r="L4">
        <v>4</v>
      </c>
      <c r="M4">
        <v>2</v>
      </c>
      <c r="N4">
        <v>2</v>
      </c>
      <c r="O4">
        <v>0</v>
      </c>
    </row>
    <row r="6" spans="1:15" x14ac:dyDescent="0.3">
      <c r="A6" t="s">
        <v>4</v>
      </c>
      <c r="B6">
        <f>MAX(A3:O4)</f>
        <v>4</v>
      </c>
      <c r="D6" t="s">
        <v>16</v>
      </c>
      <c r="E6" t="s">
        <v>6</v>
      </c>
      <c r="F6" t="s">
        <v>17</v>
      </c>
      <c r="H6" s="1"/>
    </row>
    <row r="7" spans="1:15" x14ac:dyDescent="0.3">
      <c r="A7" t="s">
        <v>10</v>
      </c>
      <c r="B7">
        <f>MIN(A3:O4)</f>
        <v>0</v>
      </c>
      <c r="D7">
        <v>1</v>
      </c>
      <c r="E7" cm="1">
        <f t="array" ref="E7:E11">FREQUENCY(A3:O4,D7:D12)</f>
        <v>8</v>
      </c>
      <c r="F7" s="1">
        <f>E7/$B$8</f>
        <v>0.26666666666666666</v>
      </c>
      <c r="G7">
        <f>F7</f>
        <v>0.26666666666666666</v>
      </c>
    </row>
    <row r="8" spans="1:15" x14ac:dyDescent="0.3">
      <c r="A8" t="s">
        <v>12</v>
      </c>
      <c r="B8">
        <f>COUNT(A3:O4)</f>
        <v>30</v>
      </c>
      <c r="D8">
        <v>2</v>
      </c>
      <c r="E8">
        <v>13</v>
      </c>
      <c r="F8" s="1">
        <f t="shared" ref="F8:F12" si="0">E8/$B$8</f>
        <v>0.43333333333333335</v>
      </c>
      <c r="G8">
        <f>G7+F8</f>
        <v>0.7</v>
      </c>
    </row>
    <row r="9" spans="1:15" x14ac:dyDescent="0.3">
      <c r="D9">
        <v>3</v>
      </c>
      <c r="E9">
        <v>5</v>
      </c>
      <c r="F9" s="1">
        <f t="shared" si="0"/>
        <v>0.16666666666666666</v>
      </c>
      <c r="G9">
        <f t="shared" ref="G9:G12" si="1">G8+F9</f>
        <v>0.86666666666666659</v>
      </c>
    </row>
    <row r="10" spans="1:15" x14ac:dyDescent="0.3">
      <c r="D10">
        <v>4</v>
      </c>
      <c r="E10">
        <v>4</v>
      </c>
      <c r="F10" s="1">
        <f t="shared" si="0"/>
        <v>0.13333333333333333</v>
      </c>
      <c r="G10">
        <f t="shared" si="1"/>
        <v>0.99999999999999989</v>
      </c>
    </row>
    <row r="11" spans="1:15" x14ac:dyDescent="0.3">
      <c r="E11">
        <v>0</v>
      </c>
      <c r="F11" s="1"/>
    </row>
    <row r="12" spans="1:15" x14ac:dyDescent="0.3">
      <c r="F12" s="1"/>
    </row>
    <row r="13" spans="1:15" x14ac:dyDescent="0.3">
      <c r="F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74B8-667F-4317-81D7-110017C86868}">
  <dimension ref="A1:M15"/>
  <sheetViews>
    <sheetView topLeftCell="F1" workbookViewId="0">
      <selection activeCell="K11" sqref="K11"/>
    </sheetView>
  </sheetViews>
  <sheetFormatPr defaultRowHeight="14.4" x14ac:dyDescent="0.3"/>
  <cols>
    <col min="2" max="2" width="16" bestFit="1" customWidth="1"/>
    <col min="5" max="5" width="10.109375" customWidth="1"/>
    <col min="6" max="6" width="11" bestFit="1" customWidth="1"/>
    <col min="7" max="7" width="9.88671875" bestFit="1" customWidth="1"/>
    <col min="9" max="9" width="9.33203125" bestFit="1" customWidth="1"/>
  </cols>
  <sheetData>
    <row r="1" spans="1:13" x14ac:dyDescent="0.3">
      <c r="A1" t="s">
        <v>0</v>
      </c>
      <c r="D1" t="s">
        <v>1</v>
      </c>
      <c r="E1" t="s">
        <v>2</v>
      </c>
      <c r="F1" t="s">
        <v>3</v>
      </c>
    </row>
    <row r="3" spans="1:13" x14ac:dyDescent="0.3">
      <c r="A3">
        <v>7.63</v>
      </c>
      <c r="B3">
        <v>10.06</v>
      </c>
      <c r="C3">
        <v>11.27</v>
      </c>
      <c r="D3" s="2">
        <v>10.67</v>
      </c>
      <c r="E3">
        <v>10.39</v>
      </c>
      <c r="F3">
        <v>7.69</v>
      </c>
      <c r="G3">
        <v>9.1999999999999993</v>
      </c>
      <c r="H3">
        <v>8.4600000000000009</v>
      </c>
      <c r="I3">
        <v>8.2200000000000006</v>
      </c>
      <c r="J3">
        <v>7.58</v>
      </c>
      <c r="K3">
        <v>5.91</v>
      </c>
      <c r="L3">
        <v>7.02</v>
      </c>
      <c r="M3" s="1">
        <v>11.09</v>
      </c>
    </row>
    <row r="4" spans="1:13" x14ac:dyDescent="0.3">
      <c r="A4">
        <v>10.52</v>
      </c>
      <c r="B4">
        <v>7.72</v>
      </c>
      <c r="C4">
        <v>6.36</v>
      </c>
      <c r="D4">
        <v>7.83</v>
      </c>
      <c r="E4">
        <v>7.78</v>
      </c>
      <c r="F4">
        <v>10.1</v>
      </c>
      <c r="G4">
        <v>8.8800000000000008</v>
      </c>
      <c r="H4">
        <v>9.34</v>
      </c>
      <c r="I4">
        <v>8.74</v>
      </c>
      <c r="J4">
        <v>8.35</v>
      </c>
      <c r="K4">
        <v>8</v>
      </c>
      <c r="L4">
        <v>9.7799999999999994</v>
      </c>
      <c r="M4">
        <v>6.48</v>
      </c>
    </row>
    <row r="6" spans="1:13" ht="43.2" x14ac:dyDescent="0.3">
      <c r="A6" t="s">
        <v>18</v>
      </c>
      <c r="B6">
        <f>MAX(A3:M4)</f>
        <v>11.27</v>
      </c>
      <c r="D6" t="s">
        <v>19</v>
      </c>
      <c r="E6" t="s">
        <v>6</v>
      </c>
      <c r="F6" t="s">
        <v>7</v>
      </c>
      <c r="G6" t="s">
        <v>20</v>
      </c>
      <c r="H6" s="1" t="s">
        <v>21</v>
      </c>
      <c r="I6" t="s">
        <v>22</v>
      </c>
      <c r="J6" t="s">
        <v>23</v>
      </c>
    </row>
    <row r="7" spans="1:13" x14ac:dyDescent="0.3">
      <c r="A7" t="s">
        <v>10</v>
      </c>
      <c r="B7">
        <f>MIN(A3:M4)</f>
        <v>5.91</v>
      </c>
      <c r="D7">
        <v>5</v>
      </c>
      <c r="E7" cm="1">
        <f t="array" ref="E7:E14">FREQUENCY(A3:M4,D7:D14)</f>
        <v>0</v>
      </c>
      <c r="F7" s="1">
        <f>E7/$B$8</f>
        <v>0</v>
      </c>
      <c r="G7">
        <f>E7/1</f>
        <v>0</v>
      </c>
      <c r="H7">
        <f>F7/1</f>
        <v>0</v>
      </c>
      <c r="I7">
        <f>E7</f>
        <v>0</v>
      </c>
      <c r="J7" s="3">
        <f>I7/$B$8</f>
        <v>0</v>
      </c>
    </row>
    <row r="8" spans="1:13" x14ac:dyDescent="0.3">
      <c r="A8" t="s">
        <v>12</v>
      </c>
      <c r="B8">
        <f>COUNT(A3:M4)</f>
        <v>26</v>
      </c>
      <c r="D8">
        <v>6</v>
      </c>
      <c r="E8">
        <v>1</v>
      </c>
      <c r="F8" s="1">
        <f t="shared" ref="F8:F15" si="0">E8/$B$8</f>
        <v>3.8461538461538464E-2</v>
      </c>
      <c r="G8">
        <f t="shared" ref="G8:G15" si="1">E8/1</f>
        <v>1</v>
      </c>
      <c r="H8">
        <f t="shared" ref="H8:H15" si="2">F8/1</f>
        <v>3.8461538461538464E-2</v>
      </c>
      <c r="I8">
        <f>I7+E8</f>
        <v>1</v>
      </c>
      <c r="J8" s="3">
        <f t="shared" ref="J8:J14" si="3">I8/$B$8</f>
        <v>3.8461538461538464E-2</v>
      </c>
    </row>
    <row r="9" spans="1:13" x14ac:dyDescent="0.3">
      <c r="A9" t="s">
        <v>13</v>
      </c>
      <c r="B9">
        <f>SQRT(B8)</f>
        <v>5.0990195135927845</v>
      </c>
      <c r="D9">
        <v>7</v>
      </c>
      <c r="E9">
        <v>2</v>
      </c>
      <c r="F9" s="1">
        <f t="shared" si="0"/>
        <v>7.6923076923076927E-2</v>
      </c>
      <c r="G9">
        <f t="shared" si="1"/>
        <v>2</v>
      </c>
      <c r="H9">
        <f t="shared" si="2"/>
        <v>7.6923076923076927E-2</v>
      </c>
      <c r="I9">
        <f t="shared" ref="I9:I15" si="4">I8+E9</f>
        <v>3</v>
      </c>
      <c r="J9" s="3">
        <f t="shared" si="3"/>
        <v>0.11538461538461539</v>
      </c>
    </row>
    <row r="10" spans="1:13" x14ac:dyDescent="0.3">
      <c r="A10" t="s">
        <v>14</v>
      </c>
      <c r="B10">
        <f>(B6-B7)/B9</f>
        <v>1.0511824843406663</v>
      </c>
      <c r="D10" s="1">
        <v>8</v>
      </c>
      <c r="E10">
        <v>8</v>
      </c>
      <c r="F10" s="1">
        <f t="shared" si="0"/>
        <v>0.30769230769230771</v>
      </c>
      <c r="G10">
        <f t="shared" si="1"/>
        <v>8</v>
      </c>
      <c r="H10">
        <f t="shared" si="2"/>
        <v>0.30769230769230771</v>
      </c>
      <c r="I10">
        <f t="shared" si="4"/>
        <v>11</v>
      </c>
      <c r="J10" s="3">
        <f t="shared" si="3"/>
        <v>0.42307692307692307</v>
      </c>
    </row>
    <row r="11" spans="1:13" x14ac:dyDescent="0.3">
      <c r="D11">
        <v>9</v>
      </c>
      <c r="E11">
        <v>5</v>
      </c>
      <c r="F11" s="1">
        <f t="shared" si="0"/>
        <v>0.19230769230769232</v>
      </c>
      <c r="G11">
        <f t="shared" si="1"/>
        <v>5</v>
      </c>
      <c r="H11">
        <f t="shared" si="2"/>
        <v>0.19230769230769232</v>
      </c>
      <c r="I11">
        <f t="shared" si="4"/>
        <v>16</v>
      </c>
      <c r="J11" s="3">
        <f t="shared" si="3"/>
        <v>0.61538461538461542</v>
      </c>
    </row>
    <row r="12" spans="1:13" x14ac:dyDescent="0.3">
      <c r="D12">
        <v>10</v>
      </c>
      <c r="E12">
        <v>3</v>
      </c>
      <c r="F12" s="1">
        <f t="shared" si="0"/>
        <v>0.11538461538461539</v>
      </c>
      <c r="G12">
        <f t="shared" si="1"/>
        <v>3</v>
      </c>
      <c r="H12">
        <f t="shared" si="2"/>
        <v>0.11538461538461539</v>
      </c>
      <c r="I12">
        <f t="shared" si="4"/>
        <v>19</v>
      </c>
      <c r="J12" s="3">
        <f t="shared" si="3"/>
        <v>0.73076923076923073</v>
      </c>
    </row>
    <row r="13" spans="1:13" x14ac:dyDescent="0.3">
      <c r="D13">
        <v>11</v>
      </c>
      <c r="E13">
        <v>5</v>
      </c>
      <c r="F13" s="1">
        <f t="shared" si="0"/>
        <v>0.19230769230769232</v>
      </c>
      <c r="G13">
        <f t="shared" si="1"/>
        <v>5</v>
      </c>
      <c r="H13">
        <f t="shared" si="2"/>
        <v>0.19230769230769232</v>
      </c>
      <c r="I13">
        <f t="shared" si="4"/>
        <v>24</v>
      </c>
      <c r="J13" s="3">
        <f t="shared" si="3"/>
        <v>0.92307692307692313</v>
      </c>
    </row>
    <row r="14" spans="1:13" x14ac:dyDescent="0.3">
      <c r="E14">
        <v>2</v>
      </c>
      <c r="F14" s="1">
        <f t="shared" si="0"/>
        <v>7.6923076923076927E-2</v>
      </c>
      <c r="G14">
        <f t="shared" si="1"/>
        <v>2</v>
      </c>
      <c r="H14">
        <f t="shared" si="2"/>
        <v>7.6923076923076927E-2</v>
      </c>
      <c r="I14">
        <f t="shared" si="4"/>
        <v>26</v>
      </c>
      <c r="J14" s="3">
        <f t="shared" si="3"/>
        <v>1</v>
      </c>
    </row>
    <row r="15" spans="1:13" x14ac:dyDescent="0.3">
      <c r="F15" s="1"/>
      <c r="J15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56DC-1A89-4829-B885-665F085864A1}">
  <dimension ref="A1:O13"/>
  <sheetViews>
    <sheetView tabSelected="1" topLeftCell="A3" zoomScale="80" workbookViewId="0">
      <selection activeCell="D13" sqref="D13"/>
    </sheetView>
  </sheetViews>
  <sheetFormatPr defaultRowHeight="14.4" x14ac:dyDescent="0.3"/>
  <cols>
    <col min="6" max="6" width="8.33203125" customWidth="1"/>
    <col min="9" max="9" width="10.6640625" customWidth="1"/>
  </cols>
  <sheetData>
    <row r="1" spans="1:15" x14ac:dyDescent="0.3">
      <c r="A1" t="s">
        <v>0</v>
      </c>
      <c r="D1" t="s">
        <v>1</v>
      </c>
      <c r="E1" t="s">
        <v>24</v>
      </c>
      <c r="F1" t="s">
        <v>25</v>
      </c>
    </row>
    <row r="3" spans="1:15" x14ac:dyDescent="0.3">
      <c r="A3">
        <v>4</v>
      </c>
      <c r="B3">
        <v>5</v>
      </c>
      <c r="C3">
        <v>4</v>
      </c>
      <c r="D3">
        <v>2</v>
      </c>
      <c r="E3">
        <v>4</v>
      </c>
      <c r="F3">
        <v>5</v>
      </c>
      <c r="G3">
        <v>3</v>
      </c>
      <c r="H3">
        <v>3</v>
      </c>
      <c r="I3">
        <v>4</v>
      </c>
      <c r="J3">
        <v>5</v>
      </c>
      <c r="K3">
        <v>4</v>
      </c>
      <c r="L3">
        <v>6</v>
      </c>
      <c r="M3">
        <v>4</v>
      </c>
      <c r="N3">
        <v>2</v>
      </c>
      <c r="O3">
        <v>4</v>
      </c>
    </row>
    <row r="4" spans="1:15" x14ac:dyDescent="0.3">
      <c r="A4">
        <v>4</v>
      </c>
      <c r="B4">
        <v>2</v>
      </c>
      <c r="C4">
        <v>5</v>
      </c>
      <c r="D4">
        <v>7</v>
      </c>
      <c r="E4">
        <v>3</v>
      </c>
      <c r="F4">
        <v>4</v>
      </c>
      <c r="G4">
        <v>6</v>
      </c>
      <c r="H4">
        <v>7</v>
      </c>
      <c r="I4">
        <v>5</v>
      </c>
      <c r="J4">
        <v>6</v>
      </c>
      <c r="K4">
        <v>6</v>
      </c>
      <c r="L4">
        <v>2</v>
      </c>
      <c r="M4">
        <v>3</v>
      </c>
      <c r="N4">
        <v>7</v>
      </c>
      <c r="O4">
        <v>3</v>
      </c>
    </row>
    <row r="6" spans="1:15" ht="28.8" x14ac:dyDescent="0.3">
      <c r="A6" t="s">
        <v>4</v>
      </c>
      <c r="B6">
        <f>MAX(A3:O4)</f>
        <v>7</v>
      </c>
      <c r="D6" t="s">
        <v>16</v>
      </c>
      <c r="E6" t="s">
        <v>6</v>
      </c>
      <c r="F6" t="s">
        <v>26</v>
      </c>
      <c r="H6" s="1" t="s">
        <v>27</v>
      </c>
      <c r="I6" t="s">
        <v>28</v>
      </c>
    </row>
    <row r="7" spans="1:15" x14ac:dyDescent="0.3">
      <c r="A7" t="s">
        <v>10</v>
      </c>
      <c r="B7">
        <f>MIN(A3:O4)</f>
        <v>2</v>
      </c>
      <c r="D7">
        <v>2</v>
      </c>
      <c r="E7" cm="1">
        <f t="array" ref="E7:E13">FREQUENCY(A3:O4,D7:D12)</f>
        <v>4</v>
      </c>
      <c r="F7" s="1">
        <f>E8/$B$10</f>
        <v>5</v>
      </c>
      <c r="G7">
        <f>E7/($B$8*$B$10)</f>
        <v>0.13333333333333333</v>
      </c>
      <c r="H7">
        <f>E7</f>
        <v>4</v>
      </c>
      <c r="I7" s="3">
        <f>H7/$B$8</f>
        <v>0.13333333333333333</v>
      </c>
    </row>
    <row r="8" spans="1:15" x14ac:dyDescent="0.3">
      <c r="A8" t="s">
        <v>12</v>
      </c>
      <c r="B8">
        <f>COUNT(A3:O4)</f>
        <v>30</v>
      </c>
      <c r="D8">
        <v>3</v>
      </c>
      <c r="E8">
        <v>5</v>
      </c>
      <c r="F8" s="1">
        <f t="shared" ref="F8:F12" si="0">E9/$B$10</f>
        <v>9</v>
      </c>
      <c r="G8">
        <f t="shared" ref="G8:G12" si="1">E8/($B$8*$B$10)</f>
        <v>0.16666666666666666</v>
      </c>
      <c r="H8">
        <f>H7+E8</f>
        <v>9</v>
      </c>
      <c r="I8" s="3">
        <f t="shared" ref="I8:I12" si="2">H8/$B$8</f>
        <v>0.3</v>
      </c>
    </row>
    <row r="9" spans="1:15" x14ac:dyDescent="0.3">
      <c r="A9" t="s">
        <v>14</v>
      </c>
      <c r="B9">
        <f>(B6-B7)/SQRT(B8)</f>
        <v>0.9128709291752769</v>
      </c>
      <c r="D9">
        <v>4</v>
      </c>
      <c r="E9">
        <v>9</v>
      </c>
      <c r="F9" s="1">
        <f t="shared" si="0"/>
        <v>5</v>
      </c>
      <c r="G9">
        <f t="shared" si="1"/>
        <v>0.3</v>
      </c>
      <c r="H9">
        <f t="shared" ref="H9:H12" si="3">H8+E9</f>
        <v>18</v>
      </c>
      <c r="I9" s="3">
        <f t="shared" si="2"/>
        <v>0.6</v>
      </c>
    </row>
    <row r="10" spans="1:15" x14ac:dyDescent="0.3">
      <c r="A10" t="s">
        <v>29</v>
      </c>
      <c r="B10">
        <v>1</v>
      </c>
      <c r="D10">
        <v>5</v>
      </c>
      <c r="E10">
        <v>5</v>
      </c>
      <c r="F10" s="1">
        <f t="shared" si="0"/>
        <v>4</v>
      </c>
      <c r="G10">
        <f t="shared" si="1"/>
        <v>0.16666666666666666</v>
      </c>
      <c r="H10">
        <f t="shared" si="3"/>
        <v>23</v>
      </c>
      <c r="I10" s="3">
        <f t="shared" si="2"/>
        <v>0.76666666666666672</v>
      </c>
    </row>
    <row r="11" spans="1:15" x14ac:dyDescent="0.3">
      <c r="D11">
        <v>6</v>
      </c>
      <c r="E11">
        <v>4</v>
      </c>
      <c r="F11" s="1">
        <f t="shared" si="0"/>
        <v>3</v>
      </c>
      <c r="G11">
        <f t="shared" si="1"/>
        <v>0.13333333333333333</v>
      </c>
      <c r="H11">
        <f t="shared" si="3"/>
        <v>27</v>
      </c>
      <c r="I11" s="3">
        <f t="shared" si="2"/>
        <v>0.9</v>
      </c>
    </row>
    <row r="12" spans="1:15" x14ac:dyDescent="0.3">
      <c r="D12">
        <v>7</v>
      </c>
      <c r="E12">
        <v>3</v>
      </c>
      <c r="F12" s="1">
        <f t="shared" si="0"/>
        <v>0</v>
      </c>
      <c r="G12">
        <f t="shared" si="1"/>
        <v>0.1</v>
      </c>
      <c r="H12">
        <f t="shared" si="3"/>
        <v>30</v>
      </c>
      <c r="I12" s="3">
        <f t="shared" si="2"/>
        <v>1</v>
      </c>
    </row>
    <row r="13" spans="1:15" x14ac:dyDescent="0.3">
      <c r="E13">
        <v>0</v>
      </c>
      <c r="F1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ЛР1</vt:lpstr>
      <vt:lpstr>ЛР1 ДИСКР</vt:lpstr>
      <vt:lpstr>ЛР2</vt:lpstr>
      <vt:lpstr>ЛР2 ДИСКР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Копаницкий Захар Александрович</cp:lastModifiedBy>
  <cp:revision/>
  <dcterms:created xsi:type="dcterms:W3CDTF">2025-01-12T07:17:09Z</dcterms:created>
  <dcterms:modified xsi:type="dcterms:W3CDTF">2025-01-13T02:47:01Z</dcterms:modified>
  <cp:category/>
  <cp:contentStatus/>
</cp:coreProperties>
</file>